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Quote Calculator" sheetId="2" state="visible" r:id="rId4"/>
    <sheet name="Price Setup" sheetId="3" state="visible" r:id="rId5"/>
    <sheet name="Set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What one hour of work costs you, all crew included.</t>
        </r>
      </text>
    </comment>
    <comment ref="B10" authorId="0">
      <text>
        <r>
          <rPr>
            <sz val="10"/>
            <rFont val="Arial"/>
            <family val="2"/>
          </rPr>
          <t xml:space="preserve">Vehicle running cost per distance unit, one way.</t>
        </r>
      </text>
    </comment>
    <comment ref="B11" authorId="0">
      <text>
        <r>
          <rPr>
            <sz val="10"/>
            <rFont val="Arial"/>
            <family val="2"/>
          </rPr>
          <t xml:space="preserve">Machine, hoses, tips, maintenance spread per working hour.</t>
        </r>
      </text>
    </comment>
    <comment ref="B16" authorId="0">
      <text>
        <r>
          <rPr>
            <sz val="10"/>
            <rFont val="Arial"/>
            <family val="2"/>
          </rPr>
          <t xml:space="preserve">Leave at 0% if you don't charge tax.</t>
        </r>
      </text>
    </comment>
  </commentList>
</comments>
</file>

<file path=xl/sharedStrings.xml><?xml version="1.0" encoding="utf-8"?>
<sst xmlns="http://schemas.openxmlformats.org/spreadsheetml/2006/main" count="126" uniqueCount="116">
  <si>
    <t xml:space="preserve">Pressure Washing Quote Calculator (Free Demo)</t>
  </si>
  <si>
    <t xml:space="preserve">FREE DEMO by LaneLedger Co.  ·  Microsoft Excel and Google Sheets</t>
  </si>
  <si>
    <t xml:space="preserve">Build a pressure washing quote and see your real job cost and profit before you send the price.</t>
  </si>
  <si>
    <t xml:space="preserve">What this free demo includes</t>
  </si>
  <si>
    <t xml:space="preserve">•  Quote Calculator with customer price, travel fee, discount, tax, deposit and a copy-ready quote message</t>
  </si>
  <si>
    <t xml:space="preserve">•  Your internal cost &amp; profit: labor, chemicals, fuel, equipment, margin and effective hourly rate</t>
  </si>
  <si>
    <t xml:space="preserve">•  Price Setup for up to 5 services, plus Settings</t>
  </si>
  <si>
    <t xml:space="preserve">The full version adds</t>
  </si>
  <si>
    <t xml:space="preserve">•  Up to 30 services in Price Setup</t>
  </si>
  <si>
    <t xml:space="preserve">•  Jobs Log: pipeline from Quoted to Paid, lead sources and profit per job (500 rows)</t>
  </si>
  <si>
    <t xml:space="preserve">•  Clients CRM with total spent, last service and automatic re-wash reminders</t>
  </si>
  <si>
    <t xml:space="preserve">•  Expenses tracker and a yearly Dashboard with monthly profit, win rate and unpaid jobs</t>
  </si>
  <si>
    <t xml:space="preserve">Get the full version on Etsy →</t>
  </si>
  <si>
    <t xml:space="preserve">Colour key</t>
  </si>
  <si>
    <t xml:space="preserve">Pale yellow cells are the cells you fill in. Grey cells calculate automatically.</t>
  </si>
  <si>
    <t xml:space="preserve">This demo is free to use in your own business. Please don't resell it.</t>
  </si>
  <si>
    <t xml:space="preserve">Quote Calculator</t>
  </si>
  <si>
    <t xml:space="preserve">Pick services, enter quantities. Customer price on the left, your real cost and profit on the right.</t>
  </si>
  <si>
    <t xml:space="preserve">Free demo · Get the full toolkit on Etsy →</t>
  </si>
  <si>
    <t xml:space="preserve">Job details</t>
  </si>
  <si>
    <t xml:space="preserve">Your cost &amp; profit (internal)</t>
  </si>
  <si>
    <t xml:space="preserve">Client name</t>
  </si>
  <si>
    <t xml:space="preserve">Example: J. Smith</t>
  </si>
  <si>
    <t xml:space="preserve">Not shown to the customer</t>
  </si>
  <si>
    <t xml:space="preserve">Job address</t>
  </si>
  <si>
    <t xml:space="preserve">12 Oak Street</t>
  </si>
  <si>
    <t xml:space="preserve">Estimated work time (hours)</t>
  </si>
  <si>
    <t xml:space="preserve">Quote date</t>
  </si>
  <si>
    <t xml:space="preserve">Labor cost</t>
  </si>
  <si>
    <t xml:space="preserve">Distance from base (miles or km, one way)</t>
  </si>
  <si>
    <t xml:space="preserve">Chemical cost</t>
  </si>
  <si>
    <t xml:space="preserve">Fuel &amp; vehicle (round trip)</t>
  </si>
  <si>
    <t xml:space="preserve">Service</t>
  </si>
  <si>
    <t xml:space="preserve">Quantity</t>
  </si>
  <si>
    <t xml:space="preserve">Unit</t>
  </si>
  <si>
    <t xml:space="preserve">Price / Unit</t>
  </si>
  <si>
    <t xml:space="preserve">Line Total</t>
  </si>
  <si>
    <t xml:space="preserve">Equipment wear</t>
  </si>
  <si>
    <t xml:space="preserve">Driveway / concrete</t>
  </si>
  <si>
    <t xml:space="preserve">Total job cost</t>
  </si>
  <si>
    <t xml:space="preserve">House wash (soft wash)</t>
  </si>
  <si>
    <t xml:space="preserve">Revenue before tax</t>
  </si>
  <si>
    <t xml:space="preserve">Patio / pavers</t>
  </si>
  <si>
    <t xml:space="preserve">ESTIMATED PROFIT</t>
  </si>
  <si>
    <t xml:space="preserve">Profit margin</t>
  </si>
  <si>
    <t xml:space="preserve">Effective hourly rate</t>
  </si>
  <si>
    <t xml:space="preserve">Target margin (Settings)</t>
  </si>
  <si>
    <t xml:space="preserve">Price needed for target margin</t>
  </si>
  <si>
    <t xml:space="preserve">Services subtotal</t>
  </si>
  <si>
    <t xml:space="preserve">Discount (%)</t>
  </si>
  <si>
    <t xml:space="preserve">Discount amount</t>
  </si>
  <si>
    <t xml:space="preserve">Travel fee</t>
  </si>
  <si>
    <t xml:space="preserve">Tax</t>
  </si>
  <si>
    <t xml:space="preserve">QUOTE TOTAL</t>
  </si>
  <si>
    <t xml:space="preserve">Deposit due</t>
  </si>
  <si>
    <t xml:space="preserve">Balance on completion</t>
  </si>
  <si>
    <t xml:space="preserve">Copy-ready quote message</t>
  </si>
  <si>
    <t xml:space="preserve">Price Setup</t>
  </si>
  <si>
    <t xml:space="preserve">Your services and rates. EXAMPLE RATES - replace with your own local prices.</t>
  </si>
  <si>
    <t xml:space="preserve">Price per Unit</t>
  </si>
  <si>
    <t xml:space="preserve">Minimum Charge</t>
  </si>
  <si>
    <t xml:space="preserve">Chemical Cost per Unit</t>
  </si>
  <si>
    <t xml:space="preserve">Minutes per 100 Units</t>
  </si>
  <si>
    <t xml:space="preserve">How this works</t>
  </si>
  <si>
    <t xml:space="preserve">sq ft</t>
  </si>
  <si>
    <t xml:space="preserve">• Line price = quantity x price per unit, but never below the minimum charge.</t>
  </si>
  <si>
    <t xml:space="preserve">• Chemical cost per unit: what your chemicals cost per sq ft (or unit) cleaned.</t>
  </si>
  <si>
    <t xml:space="preserve">Roof soft wash</t>
  </si>
  <si>
    <t xml:space="preserve">• Minutes per 100 units: how long 100 sq ft (or units) takes your crew.</t>
  </si>
  <si>
    <t xml:space="preserve">Deck cleaning</t>
  </si>
  <si>
    <t xml:space="preserve">  Example: 4 min per 100 sq ft means a 1,000 sq ft driveway takes about 40 minutes.</t>
  </si>
  <si>
    <t xml:space="preserve">• For flat-rate services use unit 'job', price = your flat price, quantity = 1.</t>
  </si>
  <si>
    <t xml:space="preserve">Full version: up to 30 services →</t>
  </si>
  <si>
    <t xml:space="preserve">• Add up to 30 services. They appear in the Quote Calculator dropdown.</t>
  </si>
  <si>
    <t xml:space="preserve">Settings</t>
  </si>
  <si>
    <t xml:space="preserve">Your business numbers. Every other tab reads from here.</t>
  </si>
  <si>
    <t xml:space="preserve">Business</t>
  </si>
  <si>
    <t xml:space="preserve">Expense categories</t>
  </si>
  <si>
    <t xml:space="preserve">Lead sources</t>
  </si>
  <si>
    <t xml:space="preserve">Business name</t>
  </si>
  <si>
    <t xml:space="preserve">Your Business Name</t>
  </si>
  <si>
    <t xml:space="preserve">Chemicals &amp; Detergents</t>
  </si>
  <si>
    <t xml:space="preserve">Google</t>
  </si>
  <si>
    <t xml:space="preserve">Phone / email for quotes</t>
  </si>
  <si>
    <t xml:space="preserve">you@example.com</t>
  </si>
  <si>
    <t xml:space="preserve">Fuel</t>
  </si>
  <si>
    <t xml:space="preserve">Facebook</t>
  </si>
  <si>
    <t xml:space="preserve">Equipment</t>
  </si>
  <si>
    <t xml:space="preserve">Nextdoor</t>
  </si>
  <si>
    <t xml:space="preserve">Costs</t>
  </si>
  <si>
    <t xml:space="preserve">Repairs &amp; Maintenance</t>
  </si>
  <si>
    <t xml:space="preserve">Referral</t>
  </si>
  <si>
    <t xml:space="preserve">Labor cost per crew hour (wages + your time)</t>
  </si>
  <si>
    <t xml:space="preserve">Insurance</t>
  </si>
  <si>
    <t xml:space="preserve">Door hanger / Flyer</t>
  </si>
  <si>
    <t xml:space="preserve">Fuel &amp; vehicle cost per mile (or km)</t>
  </si>
  <si>
    <t xml:space="preserve">Marketing &amp; Ads</t>
  </si>
  <si>
    <t xml:space="preserve">Repeat client</t>
  </si>
  <si>
    <t xml:space="preserve">Equipment wear per job hour</t>
  </si>
  <si>
    <t xml:space="preserve">Software &amp; Phone</t>
  </si>
  <si>
    <t xml:space="preserve">Other</t>
  </si>
  <si>
    <t xml:space="preserve">Vehicle</t>
  </si>
  <si>
    <t xml:space="preserve">Pricing</t>
  </si>
  <si>
    <t xml:space="preserve">Licenses &amp; Fees</t>
  </si>
  <si>
    <t xml:space="preserve">Free travel radius (miles or km)</t>
  </si>
  <si>
    <t xml:space="preserve">Travel fee per mile beyond the radius</t>
  </si>
  <si>
    <t xml:space="preserve">Sales tax / VAT (%)</t>
  </si>
  <si>
    <t xml:space="preserve">Deposit required (%)</t>
  </si>
  <si>
    <t xml:space="preserve">Job statuses (fixed)</t>
  </si>
  <si>
    <t xml:space="preserve">Target profit margin</t>
  </si>
  <si>
    <t xml:space="preserve">Quoted</t>
  </si>
  <si>
    <t xml:space="preserve">Months until a client is due for a re-wash</t>
  </si>
  <si>
    <t xml:space="preserve">Booked</t>
  </si>
  <si>
    <t xml:space="preserve">Done</t>
  </si>
  <si>
    <t xml:space="preserve">Paid</t>
  </si>
  <si>
    <t xml:space="preserve">Lost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</si>
</sst>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"/>
    <numFmt numFmtId="166" formatCode="yyyy\-mm\-dd"/>
    <numFmt numFmtId="167" formatCode="#,##0.00;[RED]\-#,##0.00;\-"/>
    <numFmt numFmtId="168" formatCode="#,##0"/>
    <numFmt numFmtId="169" formatCode="0.0%;[RED]\-0.0%;\-"/>
    <numFmt numFmtId="170" formatCode="0%"/>
    <numFmt numFmtId="171" formatCode="#,##0.000"/>
    <numFmt numFmtId="172" formatCode="0"/>
    <numFmt numFmtId="173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5A"/>
      <name val="Arial"/>
      <family val="0"/>
      <charset val="1"/>
    </font>
    <font>
      <i val="true"/>
      <sz val="10"/>
      <color rgb="FF5A6770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2"/>
      <color rgb="FF1F4E5A"/>
      <name val="Arial"/>
      <family val="0"/>
      <charset val="1"/>
    </font>
    <font>
      <b val="true"/>
      <u val="single"/>
      <sz val="12"/>
      <color rgb="FF1A5FB4"/>
      <name val="Arial"/>
      <family val="0"/>
      <charset val="1"/>
    </font>
    <font>
      <b val="true"/>
      <u val="single"/>
      <sz val="10"/>
      <color rgb="FF1A5FB4"/>
      <name val="Arial"/>
      <family val="0"/>
      <charset val="1"/>
    </font>
    <font>
      <sz val="10"/>
      <color rgb="FF1A3D8F"/>
      <name val="Arial"/>
      <family val="0"/>
      <charset val="1"/>
    </font>
    <font>
      <i val="true"/>
      <sz val="9"/>
      <color rgb="FF5A677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0"/>
      <color rgb="FF1F4E5A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6D6"/>
        <bgColor rgb="FFF4F5F6"/>
      </patternFill>
    </fill>
    <fill>
      <patternFill patternType="solid">
        <fgColor rgb="FFF4F5F6"/>
        <bgColor rgb="FFEDEFF0"/>
      </patternFill>
    </fill>
    <fill>
      <patternFill patternType="solid">
        <fgColor rgb="FF1F4E5A"/>
        <bgColor rgb="FF1A3D8F"/>
      </patternFill>
    </fill>
    <fill>
      <patternFill patternType="solid">
        <fgColor rgb="FFE3EEF0"/>
        <bgColor rgb="FFEDEFF0"/>
      </patternFill>
    </fill>
    <fill>
      <patternFill patternType="solid">
        <fgColor rgb="FFEDEFF0"/>
        <bgColor rgb="FFE3EE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ADD"/>
      </left>
      <right/>
      <top style="thin">
        <color rgb="FFD5DADD"/>
      </top>
      <bottom style="thin">
        <color rgb="FFD5DADD"/>
      </bottom>
      <diagonal/>
    </border>
    <border diagonalUp="false" diagonalDown="false">
      <left style="thin">
        <color rgb="FFD5DADD"/>
      </left>
      <right style="thin">
        <color rgb="FFD5DADD"/>
      </right>
      <top style="thin">
        <color rgb="FFD5DADD"/>
      </top>
      <bottom style="thin">
        <color rgb="FFD5DA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0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0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0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0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0392B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FC3CB"/>
      <rgbColor rgb="FF808080"/>
      <rgbColor rgb="FF9999FF"/>
      <rgbColor rgb="FF993366"/>
      <rgbColor rgb="FFFFF6D6"/>
      <rgbColor rgb="FFE3EEF0"/>
      <rgbColor rgb="FF660066"/>
      <rgbColor rgb="FFFF8080"/>
      <rgbColor rgb="FF1A5FB4"/>
      <rgbColor rgb="FFD5DA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FF0"/>
      <rgbColor rgb="FFF4F5F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9A441"/>
      <rgbColor rgb="FFFF6600"/>
      <rgbColor rgb="FF5A6770"/>
      <rgbColor rgb="FF969696"/>
      <rgbColor rgb="FF1F4E5A"/>
      <rgbColor rgb="FF339966"/>
      <rgbColor rgb="FF003300"/>
      <rgbColor rgb="FF333300"/>
      <rgbColor rgb="FFC0392B"/>
      <rgbColor rgb="FF993366"/>
      <rgbColor rgb="FF1A3D8F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tsy.com/listing/4602384022/pressure-washing-business-spreadsheet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etsy.com/listing/4602384022/pressure-washing-business-spreadsheet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etsy.com/listing/4602384022/pressure-washing-business-spreadsheet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A"/>
    <pageSetUpPr fitToPage="fals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0"/>
  </cols>
  <sheetData>
    <row r="1" customFormat="false" ht="30" hidden="false" customHeight="true" outlineLevel="0" collapsed="false">
      <c r="A1" s="2"/>
      <c r="B1" s="3" t="s">
        <v>0</v>
      </c>
    </row>
    <row r="2" customFormat="false" ht="15" hidden="false" customHeight="true" outlineLevel="0" collapsed="false">
      <c r="A2" s="2"/>
      <c r="B2" s="4" t="s">
        <v>1</v>
      </c>
    </row>
    <row r="3" customFormat="false" ht="15" hidden="false" customHeight="false" outlineLevel="0" collapsed="false">
      <c r="A3" s="2"/>
      <c r="B3" s="2"/>
    </row>
    <row r="4" customFormat="false" ht="21.75" hidden="false" customHeight="true" outlineLevel="0" collapsed="false">
      <c r="A4" s="2"/>
      <c r="B4" s="5" t="s">
        <v>2</v>
      </c>
    </row>
    <row r="5" customFormat="false" ht="15" hidden="false" customHeight="true" outlineLevel="0" collapsed="false">
      <c r="A5" s="2"/>
      <c r="B5" s="5"/>
    </row>
    <row r="6" customFormat="false" ht="15" hidden="false" customHeight="true" outlineLevel="0" collapsed="false">
      <c r="A6" s="2"/>
      <c r="B6" s="6" t="s">
        <v>3</v>
      </c>
    </row>
    <row r="7" customFormat="false" ht="15" hidden="false" customHeight="true" outlineLevel="0" collapsed="false">
      <c r="A7" s="2"/>
      <c r="B7" s="5" t="s">
        <v>4</v>
      </c>
    </row>
    <row r="8" customFormat="false" ht="15" hidden="false" customHeight="true" outlineLevel="0" collapsed="false">
      <c r="A8" s="2"/>
      <c r="B8" s="5" t="s">
        <v>5</v>
      </c>
    </row>
    <row r="9" customFormat="false" ht="21.75" hidden="false" customHeight="true" outlineLevel="0" collapsed="false">
      <c r="A9" s="2"/>
      <c r="B9" s="5" t="s">
        <v>6</v>
      </c>
    </row>
    <row r="10" customFormat="false" ht="15" hidden="false" customHeight="true" outlineLevel="0" collapsed="false">
      <c r="A10" s="2"/>
      <c r="B10" s="5"/>
    </row>
    <row r="11" customFormat="false" ht="15" hidden="false" customHeight="true" outlineLevel="0" collapsed="false">
      <c r="A11" s="2"/>
      <c r="B11" s="6" t="s">
        <v>7</v>
      </c>
    </row>
    <row r="12" customFormat="false" ht="15" hidden="false" customHeight="true" outlineLevel="0" collapsed="false">
      <c r="A12" s="2"/>
      <c r="B12" s="5" t="s">
        <v>8</v>
      </c>
    </row>
    <row r="13" customFormat="false" ht="15" hidden="false" customHeight="true" outlineLevel="0" collapsed="false">
      <c r="A13" s="2"/>
      <c r="B13" s="5" t="s">
        <v>9</v>
      </c>
    </row>
    <row r="14" customFormat="false" ht="15" hidden="false" customHeight="true" outlineLevel="0" collapsed="false">
      <c r="A14" s="2"/>
      <c r="B14" s="5" t="s">
        <v>10</v>
      </c>
    </row>
    <row r="15" customFormat="false" ht="15" hidden="false" customHeight="true" outlineLevel="0" collapsed="false">
      <c r="A15" s="2"/>
      <c r="B15" s="5" t="s">
        <v>11</v>
      </c>
    </row>
    <row r="16" customFormat="false" ht="15" hidden="false" customHeight="true" outlineLevel="0" collapsed="false">
      <c r="A16" s="2"/>
      <c r="B16" s="5"/>
    </row>
    <row r="17" customFormat="false" ht="21.75" hidden="false" customHeight="true" outlineLevel="0" collapsed="false">
      <c r="A17" s="2"/>
      <c r="B17" s="7" t="s">
        <v>12</v>
      </c>
    </row>
    <row r="18" customFormat="false" ht="15" hidden="false" customHeight="true" outlineLevel="0" collapsed="false">
      <c r="A18" s="2"/>
      <c r="B18" s="5"/>
    </row>
    <row r="19" customFormat="false" ht="15" hidden="false" customHeight="true" outlineLevel="0" collapsed="false">
      <c r="A19" s="2"/>
      <c r="B19" s="6" t="s">
        <v>13</v>
      </c>
    </row>
    <row r="20" customFormat="false" ht="15" hidden="false" customHeight="true" outlineLevel="0" collapsed="false">
      <c r="A20" s="2"/>
      <c r="B20" s="8" t="s">
        <v>14</v>
      </c>
    </row>
    <row r="21" customFormat="false" ht="21.75" hidden="false" customHeight="true" outlineLevel="0" collapsed="false">
      <c r="A21" s="2"/>
      <c r="B21" s="5"/>
    </row>
    <row r="22" customFormat="false" ht="15" hidden="false" customHeight="true" outlineLevel="0" collapsed="false">
      <c r="A22" s="2"/>
      <c r="B22" s="5" t="s">
        <v>15</v>
      </c>
    </row>
    <row r="23" customFormat="false" ht="15" hidden="false" customHeight="true" outlineLevel="0" collapsed="false">
      <c r="A23" s="2"/>
      <c r="B23" s="5"/>
    </row>
    <row r="24" customFormat="false" ht="15" hidden="false" customHeight="true" outlineLevel="0" collapsed="false">
      <c r="A24" s="2"/>
      <c r="B24" s="5"/>
    </row>
    <row r="25" customFormat="false" ht="15" hidden="false" customHeight="true" outlineLevel="0" collapsed="false">
      <c r="A25" s="2"/>
      <c r="B25" s="5"/>
    </row>
  </sheetData>
  <hyperlinks>
    <hyperlink ref="B17" r:id="rId1" display="Get the full version on Etsy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1"/>
    <col collapsed="false" customWidth="true" hidden="false" outlineLevel="0" max="4" min="3" style="1" width="12"/>
    <col collapsed="false" customWidth="true" hidden="false" outlineLevel="0" max="5" min="5" style="1" width="14"/>
    <col collapsed="false" customWidth="true" hidden="false" outlineLevel="0" max="6" min="6" style="1" width="4"/>
    <col collapsed="false" customWidth="true" hidden="false" outlineLevel="0" max="7" min="7" style="1" width="34"/>
    <col collapsed="false" customWidth="true" hidden="false" outlineLevel="0" max="8" min="8" style="1" width="15"/>
    <col collapsed="false" customWidth="true" hidden="false" outlineLevel="0" max="11" min="9" style="1" width="4"/>
  </cols>
  <sheetData>
    <row r="1" customFormat="false" ht="30" hidden="false" customHeight="true" outlineLevel="0" collapsed="false">
      <c r="A1" s="9" t="s">
        <v>16</v>
      </c>
    </row>
    <row r="2" customFormat="false" ht="15" hidden="false" customHeight="true" outlineLevel="0" collapsed="false">
      <c r="A2" s="10" t="s">
        <v>17</v>
      </c>
      <c r="G2" s="11" t="s">
        <v>18</v>
      </c>
    </row>
    <row r="4" customFormat="false" ht="15" hidden="false" customHeight="true" outlineLevel="0" collapsed="false">
      <c r="A4" s="12" t="s">
        <v>19</v>
      </c>
      <c r="G4" s="12" t="s">
        <v>20</v>
      </c>
    </row>
    <row r="5" customFormat="false" ht="15" hidden="false" customHeight="true" outlineLevel="0" collapsed="false">
      <c r="A5" s="13" t="s">
        <v>21</v>
      </c>
      <c r="B5" s="14" t="s">
        <v>22</v>
      </c>
      <c r="C5" s="14"/>
      <c r="D5" s="14"/>
      <c r="E5" s="14"/>
      <c r="G5" s="15" t="s">
        <v>23</v>
      </c>
    </row>
    <row r="6" customFormat="false" ht="15" hidden="false" customHeight="true" outlineLevel="0" collapsed="false">
      <c r="A6" s="13" t="s">
        <v>24</v>
      </c>
      <c r="B6" s="14" t="s">
        <v>25</v>
      </c>
      <c r="C6" s="14"/>
      <c r="D6" s="14"/>
      <c r="E6" s="14"/>
      <c r="G6" s="13" t="s">
        <v>26</v>
      </c>
      <c r="H6" s="16" t="n">
        <f aca="false">(IF(A11="",0,N(B11)/100*IFERROR(INDEX('Price Setup'!$F$5:$F$34,MATCH(A11,'Price Setup'!$A$5:$A$34,0)),0))+IF(A12="",0,N(B12)/100*IFERROR(INDEX('Price Setup'!$F$5:$F$34,MATCH(A12,'Price Setup'!$A$5:$A$34,0)),0))+IF(A13="",0,N(B13)/100*IFERROR(INDEX('Price Setup'!$F$5:$F$34,MATCH(A13,'Price Setup'!$A$5:$A$34,0)),0))+IF(A14="",0,N(B14)/100*IFERROR(INDEX('Price Setup'!$F$5:$F$34,MATCH(A14,'Price Setup'!$A$5:$A$34,0)),0))+IF(A15="",0,N(B15)/100*IFERROR(INDEX('Price Setup'!$F$5:$F$34,MATCH(A15,'Price Setup'!$A$5:$A$34,0)),0))+IF(A16="",0,N(B16)/100*IFERROR(INDEX('Price Setup'!$F$5:$F$34,MATCH(A16,'Price Setup'!$A$5:$A$34,0)),0))+IF(A17="",0,N(B17)/100*IFERROR(INDEX('Price Setup'!$F$5:$F$34,MATCH(A17,'Price Setup'!$A$5:$A$34,0)),0))+IF(A18="",0,N(B18)/100*IFERROR(INDEX('Price Setup'!$F$5:$F$34,MATCH(A18,'Price Setup'!$A$5:$A$34,0)),0))+IF(A19="",0,N(B19)/100*IFERROR(INDEX('Price Setup'!$F$5:$F$34,MATCH(A19,'Price Setup'!$A$5:$A$34,0)),0))+IF(A20="",0,N(B20)/100*IFERROR(INDEX('Price Setup'!$F$5:$F$34,MATCH(A20,'Price Setup'!$A$5:$A$34,0)),0)))/60</f>
        <v>2.33333333333333</v>
      </c>
    </row>
    <row r="7" customFormat="false" ht="15" hidden="false" customHeight="true" outlineLevel="0" collapsed="false">
      <c r="A7" s="13" t="s">
        <v>27</v>
      </c>
      <c r="B7" s="17" t="n">
        <v>46319</v>
      </c>
      <c r="C7" s="17"/>
      <c r="D7" s="17"/>
      <c r="E7" s="17"/>
      <c r="G7" s="13" t="s">
        <v>28</v>
      </c>
      <c r="H7" s="18" t="n">
        <f aca="false">H6*Settings!$B$9</f>
        <v>81.6666666666667</v>
      </c>
    </row>
    <row r="8" customFormat="false" ht="15" hidden="false" customHeight="true" outlineLevel="0" collapsed="false">
      <c r="A8" s="13" t="s">
        <v>29</v>
      </c>
      <c r="B8" s="19" t="n">
        <v>22</v>
      </c>
      <c r="C8" s="19"/>
      <c r="D8" s="19"/>
      <c r="E8" s="19"/>
      <c r="G8" s="13" t="s">
        <v>30</v>
      </c>
      <c r="H8" s="18" t="n">
        <f aca="false">IF(A11="",0,N(B11)*IFERROR(INDEX('Price Setup'!$E$5:$E$34,MATCH(A11,'Price Setup'!$A$5:$A$34,0)),0))+IF(A12="",0,N(B12)*IFERROR(INDEX('Price Setup'!$E$5:$E$34,MATCH(A12,'Price Setup'!$A$5:$A$34,0)),0))+IF(A13="",0,N(B13)*IFERROR(INDEX('Price Setup'!$E$5:$E$34,MATCH(A13,'Price Setup'!$A$5:$A$34,0)),0))+IF(A14="",0,N(B14)*IFERROR(INDEX('Price Setup'!$E$5:$E$34,MATCH(A14,'Price Setup'!$A$5:$A$34,0)),0))+IF(A15="",0,N(B15)*IFERROR(INDEX('Price Setup'!$E$5:$E$34,MATCH(A15,'Price Setup'!$A$5:$A$34,0)),0))+IF(A16="",0,N(B16)*IFERROR(INDEX('Price Setup'!$E$5:$E$34,MATCH(A16,'Price Setup'!$A$5:$A$34,0)),0))+IF(A17="",0,N(B17)*IFERROR(INDEX('Price Setup'!$E$5:$E$34,MATCH(A17,'Price Setup'!$A$5:$A$34,0)),0))+IF(A18="",0,N(B18)*IFERROR(INDEX('Price Setup'!$E$5:$E$34,MATCH(A18,'Price Setup'!$A$5:$A$34,0)),0))+IF(A19="",0,N(B19)*IFERROR(INDEX('Price Setup'!$E$5:$E$34,MATCH(A19,'Price Setup'!$A$5:$A$34,0)),0))+IF(A20="",0,N(B20)*IFERROR(INDEX('Price Setup'!$E$5:$E$34,MATCH(A20,'Price Setup'!$A$5:$A$34,0)),0))</f>
        <v>64.8</v>
      </c>
    </row>
    <row r="9" customFormat="false" ht="15" hidden="false" customHeight="true" outlineLevel="0" collapsed="false">
      <c r="G9" s="13" t="s">
        <v>31</v>
      </c>
      <c r="H9" s="18" t="n">
        <f aca="false">B8*2*Settings!$B$10</f>
        <v>30.8</v>
      </c>
    </row>
    <row r="10" customFormat="false" ht="31.5" hidden="false" customHeight="true" outlineLevel="0" collapsed="false">
      <c r="A10" s="20" t="s">
        <v>32</v>
      </c>
      <c r="B10" s="20" t="s">
        <v>33</v>
      </c>
      <c r="C10" s="20" t="s">
        <v>34</v>
      </c>
      <c r="D10" s="20" t="s">
        <v>35</v>
      </c>
      <c r="E10" s="20" t="s">
        <v>36</v>
      </c>
      <c r="G10" s="13" t="s">
        <v>37</v>
      </c>
      <c r="H10" s="18" t="n">
        <f aca="false">H6*Settings!$B$11</f>
        <v>9.33333333333333</v>
      </c>
    </row>
    <row r="11" customFormat="false" ht="15" hidden="false" customHeight="true" outlineLevel="0" collapsed="false">
      <c r="A11" s="21" t="s">
        <v>38</v>
      </c>
      <c r="B11" s="22" t="n">
        <v>1200</v>
      </c>
      <c r="C11" s="23" t="str">
        <f aca="false">IF(A11="","",IFERROR(INDEX('Price Setup'!$B$5:$B$34,MATCH(A11,'Price Setup'!$A$5:$A$34,0)),"?"))</f>
        <v>sq ft</v>
      </c>
      <c r="D11" s="18" t="n">
        <f aca="false">IF(A11="","",IFERROR(INDEX('Price Setup'!$C$5:$C$34,MATCH(A11,'Price Setup'!$A$5:$A$34,0)),0))</f>
        <v>0.18</v>
      </c>
      <c r="E11" s="18" t="n">
        <f aca="false">IF(A11="","",MAX(N(B11)*D11,IFERROR(INDEX('Price Setup'!$D$5:$D$34,MATCH(A11,'Price Setup'!$A$5:$A$34,0)),0)))</f>
        <v>216</v>
      </c>
      <c r="G11" s="13" t="s">
        <v>39</v>
      </c>
      <c r="H11" s="18" t="n">
        <f aca="false">SUM(H7:H10)</f>
        <v>186.6</v>
      </c>
    </row>
    <row r="12" customFormat="false" ht="15" hidden="false" customHeight="true" outlineLevel="0" collapsed="false">
      <c r="A12" s="21" t="s">
        <v>40</v>
      </c>
      <c r="B12" s="22" t="n">
        <v>2400</v>
      </c>
      <c r="C12" s="23" t="str">
        <f aca="false">IF(A12="","",IFERROR(INDEX('Price Setup'!$B$5:$B$34,MATCH(A12,'Price Setup'!$A$5:$A$34,0)),"?"))</f>
        <v>sq ft</v>
      </c>
      <c r="D12" s="18" t="n">
        <f aca="false">IF(A12="","",IFERROR(INDEX('Price Setup'!$C$5:$C$34,MATCH(A12,'Price Setup'!$A$5:$A$34,0)),0))</f>
        <v>0.22</v>
      </c>
      <c r="E12" s="18" t="n">
        <f aca="false">IF(A12="","",MAX(N(B12)*D12,IFERROR(INDEX('Price Setup'!$D$5:$D$34,MATCH(A12,'Price Setup'!$A$5:$A$34,0)),0)))</f>
        <v>528</v>
      </c>
      <c r="G12" s="13" t="s">
        <v>41</v>
      </c>
      <c r="H12" s="18" t="n">
        <f aca="false">E22+E24+E25</f>
        <v>854.5</v>
      </c>
    </row>
    <row r="13" customFormat="false" ht="15" hidden="false" customHeight="true" outlineLevel="0" collapsed="false">
      <c r="A13" s="21" t="s">
        <v>42</v>
      </c>
      <c r="B13" s="22" t="n">
        <v>400</v>
      </c>
      <c r="C13" s="23" t="str">
        <f aca="false">IF(A13="","",IFERROR(INDEX('Price Setup'!$B$5:$B$34,MATCH(A13,'Price Setup'!$A$5:$A$34,0)),"?"))</f>
        <v>sq ft</v>
      </c>
      <c r="D13" s="18" t="n">
        <f aca="false">IF(A13="","",IFERROR(INDEX('Price Setup'!$C$5:$C$34,MATCH(A13,'Price Setup'!$A$5:$A$34,0)),0))</f>
        <v>0.25</v>
      </c>
      <c r="E13" s="18" t="n">
        <f aca="false">IF(A13="","",MAX(N(B13)*D13,IFERROR(INDEX('Price Setup'!$D$5:$D$34,MATCH(A13,'Price Setup'!$A$5:$A$34,0)),0)))</f>
        <v>100</v>
      </c>
      <c r="G13" s="24" t="s">
        <v>43</v>
      </c>
      <c r="H13" s="25" t="n">
        <f aca="false">H12-H11</f>
        <v>667.9</v>
      </c>
    </row>
    <row r="14" customFormat="false" ht="15" hidden="false" customHeight="true" outlineLevel="0" collapsed="false">
      <c r="A14" s="21"/>
      <c r="B14" s="22"/>
      <c r="C14" s="23" t="str">
        <f aca="false">IF(A14="","",IFERROR(INDEX('Price Setup'!$B$5:$B$34,MATCH(A14,'Price Setup'!$A$5:$A$34,0)),"?"))</f>
        <v/>
      </c>
      <c r="D14" s="18" t="str">
        <f aca="false">IF(A14="","",IFERROR(INDEX('Price Setup'!$C$5:$C$34,MATCH(A14,'Price Setup'!$A$5:$A$34,0)),0))</f>
        <v/>
      </c>
      <c r="E14" s="18" t="str">
        <f aca="false">IF(A14="","",MAX(N(B14)*D14,IFERROR(INDEX('Price Setup'!$D$5:$D$34,MATCH(A14,'Price Setup'!$A$5:$A$34,0)),0)))</f>
        <v/>
      </c>
      <c r="G14" s="13" t="s">
        <v>44</v>
      </c>
      <c r="H14" s="26" t="n">
        <f aca="false">IF(H12=0,0,H13/H12)</f>
        <v>0.781626682270334</v>
      </c>
    </row>
    <row r="15" customFormat="false" ht="15" hidden="false" customHeight="true" outlineLevel="0" collapsed="false">
      <c r="A15" s="21"/>
      <c r="B15" s="22"/>
      <c r="C15" s="23" t="str">
        <f aca="false">IF(A15="","",IFERROR(INDEX('Price Setup'!$B$5:$B$34,MATCH(A15,'Price Setup'!$A$5:$A$34,0)),"?"))</f>
        <v/>
      </c>
      <c r="D15" s="18" t="str">
        <f aca="false">IF(A15="","",IFERROR(INDEX('Price Setup'!$C$5:$C$34,MATCH(A15,'Price Setup'!$A$5:$A$34,0)),0))</f>
        <v/>
      </c>
      <c r="E15" s="18" t="str">
        <f aca="false">IF(A15="","",MAX(N(B15)*D15,IFERROR(INDEX('Price Setup'!$D$5:$D$34,MATCH(A15,'Price Setup'!$A$5:$A$34,0)),0)))</f>
        <v/>
      </c>
      <c r="G15" s="13" t="s">
        <v>45</v>
      </c>
      <c r="H15" s="18" t="n">
        <f aca="false">IF(H6=0,0,H13/H6+Settings!$B$9)</f>
        <v>321.242857142857</v>
      </c>
    </row>
    <row r="16" customFormat="false" ht="15" hidden="false" customHeight="true" outlineLevel="0" collapsed="false">
      <c r="A16" s="21"/>
      <c r="B16" s="22"/>
      <c r="C16" s="23" t="str">
        <f aca="false">IF(A16="","",IFERROR(INDEX('Price Setup'!$B$5:$B$34,MATCH(A16,'Price Setup'!$A$5:$A$34,0)),"?"))</f>
        <v/>
      </c>
      <c r="D16" s="18" t="str">
        <f aca="false">IF(A16="","",IFERROR(INDEX('Price Setup'!$C$5:$C$34,MATCH(A16,'Price Setup'!$A$5:$A$34,0)),0))</f>
        <v/>
      </c>
      <c r="E16" s="18" t="str">
        <f aca="false">IF(A16="","",MAX(N(B16)*D16,IFERROR(INDEX('Price Setup'!$D$5:$D$34,MATCH(A16,'Price Setup'!$A$5:$A$34,0)),0)))</f>
        <v/>
      </c>
      <c r="G16" s="13" t="s">
        <v>46</v>
      </c>
      <c r="H16" s="27" t="n">
        <f aca="false">Settings!$B$18</f>
        <v>0.4</v>
      </c>
    </row>
    <row r="17" customFormat="false" ht="15" hidden="false" customHeight="true" outlineLevel="0" collapsed="false">
      <c r="A17" s="21"/>
      <c r="B17" s="22"/>
      <c r="C17" s="23" t="str">
        <f aca="false">IF(A17="","",IFERROR(INDEX('Price Setup'!$B$5:$B$34,MATCH(A17,'Price Setup'!$A$5:$A$34,0)),"?"))</f>
        <v/>
      </c>
      <c r="D17" s="18" t="str">
        <f aca="false">IF(A17="","",IFERROR(INDEX('Price Setup'!$C$5:$C$34,MATCH(A17,'Price Setup'!$A$5:$A$34,0)),0))</f>
        <v/>
      </c>
      <c r="E17" s="18" t="str">
        <f aca="false">IF(A17="","",MAX(N(B17)*D17,IFERROR(INDEX('Price Setup'!$D$5:$D$34,MATCH(A17,'Price Setup'!$A$5:$A$34,0)),0)))</f>
        <v/>
      </c>
      <c r="G17" s="24" t="s">
        <v>47</v>
      </c>
      <c r="H17" s="25" t="n">
        <f aca="false">IF(1-H16&lt;=0,"Lower target",H11/(1-H16))</f>
        <v>311</v>
      </c>
    </row>
    <row r="18" customFormat="false" ht="15" hidden="false" customHeight="true" outlineLevel="0" collapsed="false">
      <c r="A18" s="21"/>
      <c r="B18" s="22"/>
      <c r="C18" s="23" t="str">
        <f aca="false">IF(A18="","",IFERROR(INDEX('Price Setup'!$B$5:$B$34,MATCH(A18,'Price Setup'!$A$5:$A$34,0)),"?"))</f>
        <v/>
      </c>
      <c r="D18" s="18" t="str">
        <f aca="false">IF(A18="","",IFERROR(INDEX('Price Setup'!$C$5:$C$34,MATCH(A18,'Price Setup'!$A$5:$A$34,0)),0))</f>
        <v/>
      </c>
      <c r="E18" s="18" t="str">
        <f aca="false">IF(A18="","",MAX(N(B18)*D18,IFERROR(INDEX('Price Setup'!$D$5:$D$34,MATCH(A18,'Price Setup'!$A$5:$A$34,0)),0)))</f>
        <v/>
      </c>
    </row>
    <row r="19" customFormat="false" ht="15" hidden="false" customHeight="true" outlineLevel="0" collapsed="false">
      <c r="A19" s="21"/>
      <c r="B19" s="22"/>
      <c r="C19" s="23" t="str">
        <f aca="false">IF(A19="","",IFERROR(INDEX('Price Setup'!$B$5:$B$34,MATCH(A19,'Price Setup'!$A$5:$A$34,0)),"?"))</f>
        <v/>
      </c>
      <c r="D19" s="18" t="str">
        <f aca="false">IF(A19="","",IFERROR(INDEX('Price Setup'!$C$5:$C$34,MATCH(A19,'Price Setup'!$A$5:$A$34,0)),0))</f>
        <v/>
      </c>
      <c r="E19" s="18" t="str">
        <f aca="false">IF(A19="","",MAX(N(B19)*D19,IFERROR(INDEX('Price Setup'!$D$5:$D$34,MATCH(A19,'Price Setup'!$A$5:$A$34,0)),0)))</f>
        <v/>
      </c>
      <c r="G19" s="28" t="str">
        <f aca="false">IF(H13&lt;0,"⚠ This quote loses money. Raise prices or minimums.",IF(H14&lt;H16,"⚠ Margin is below your target.","✓ Quote meets your target margin."))</f>
        <v>✓ Quote meets your target margin.</v>
      </c>
    </row>
    <row r="20" customFormat="false" ht="15" hidden="false" customHeight="true" outlineLevel="0" collapsed="false">
      <c r="A20" s="21"/>
      <c r="B20" s="22"/>
      <c r="C20" s="23" t="str">
        <f aca="false">IF(A20="","",IFERROR(INDEX('Price Setup'!$B$5:$B$34,MATCH(A20,'Price Setup'!$A$5:$A$34,0)),"?"))</f>
        <v/>
      </c>
      <c r="D20" s="18" t="str">
        <f aca="false">IF(A20="","",IFERROR(INDEX('Price Setup'!$C$5:$C$34,MATCH(A20,'Price Setup'!$A$5:$A$34,0)),0))</f>
        <v/>
      </c>
      <c r="E20" s="18" t="str">
        <f aca="false">IF(A20="","",MAX(N(B20)*D20,IFERROR(INDEX('Price Setup'!$D$5:$D$34,MATCH(A20,'Price Setup'!$A$5:$A$34,0)),0)))</f>
        <v/>
      </c>
    </row>
    <row r="22" customFormat="false" ht="15" hidden="false" customHeight="true" outlineLevel="0" collapsed="false">
      <c r="A22" s="13" t="s">
        <v>48</v>
      </c>
      <c r="E22" s="18" t="n">
        <f aca="false">SUM(E11:E20)</f>
        <v>844</v>
      </c>
    </row>
    <row r="23" customFormat="false" ht="15" hidden="false" customHeight="true" outlineLevel="0" collapsed="false">
      <c r="A23" s="13" t="s">
        <v>49</v>
      </c>
      <c r="E23" s="29" t="n">
        <v>0</v>
      </c>
    </row>
    <row r="24" customFormat="false" ht="15" hidden="false" customHeight="true" outlineLevel="0" collapsed="false">
      <c r="A24" s="13" t="s">
        <v>50</v>
      </c>
      <c r="E24" s="18" t="n">
        <f aca="false">-E22*E23</f>
        <v>-0</v>
      </c>
    </row>
    <row r="25" customFormat="false" ht="15" hidden="false" customHeight="true" outlineLevel="0" collapsed="false">
      <c r="A25" s="13" t="s">
        <v>51</v>
      </c>
      <c r="E25" s="18" t="n">
        <f aca="false">MAX(0,B8-Settings!$B$14)*Settings!$B$15</f>
        <v>10.5</v>
      </c>
    </row>
    <row r="26" customFormat="false" ht="15" hidden="false" customHeight="true" outlineLevel="0" collapsed="false">
      <c r="A26" s="13" t="s">
        <v>52</v>
      </c>
      <c r="E26" s="18" t="n">
        <f aca="false">(E22+E24+E25)*Settings!$B$16</f>
        <v>0</v>
      </c>
    </row>
    <row r="27" customFormat="false" ht="15" hidden="false" customHeight="true" outlineLevel="0" collapsed="false">
      <c r="A27" s="12" t="s">
        <v>53</v>
      </c>
      <c r="E27" s="25" t="n">
        <f aca="false">E22+E24+E25+E26</f>
        <v>854.5</v>
      </c>
    </row>
    <row r="28" customFormat="false" ht="15" hidden="false" customHeight="true" outlineLevel="0" collapsed="false">
      <c r="A28" s="13" t="s">
        <v>54</v>
      </c>
      <c r="E28" s="18" t="n">
        <f aca="false">E27*Settings!$B$17</f>
        <v>213.625</v>
      </c>
    </row>
    <row r="29" customFormat="false" ht="15" hidden="false" customHeight="true" outlineLevel="0" collapsed="false">
      <c r="A29" s="13" t="s">
        <v>55</v>
      </c>
      <c r="E29" s="18" t="n">
        <f aca="false">E27-E28</f>
        <v>640.875</v>
      </c>
    </row>
    <row r="31" customFormat="false" ht="15" hidden="false" customHeight="true" outlineLevel="0" collapsed="false">
      <c r="A31" s="12" t="s">
        <v>56</v>
      </c>
    </row>
    <row r="32" customFormat="false" ht="30" hidden="false" customHeight="true" outlineLevel="0" collapsed="false">
      <c r="A32" s="30" t="str">
        <f aca="false">"Hi "&amp;B5&amp;", thank you for the opportunity! Your quote for "&amp;B6&amp;" is "&amp;TEXT(E27,"#,##0.00")&amp;". A deposit of "&amp;TEXT(E28,"#,##0.00")&amp;" confirms your booking. This quote includes: "&amp;IF(A11="","",A11)&amp;IF(A12="","",", "&amp;A12)&amp;IF(A13="","",", "&amp;A13)&amp;IF(A14="","",", "&amp;A14)&amp;IF(A15="","",", "&amp;A15)&amp;IF(COUNTA(A16:A20)&gt;0," and more","")&amp;". Questions? Contact "&amp;Settings!$B$5&amp;" at "&amp;Settings!$B$6&amp;"."</f>
        <v>Hi Example: J. Smith, thank you for the opportunity! Your quote for 12 Oak Street is 854.50. A deposit of 213.63 confirms your booking. This quote includes: Driveway / concrete, House wash (soft wash), Patio / pavers. Questions? Contact Your Business Name at you@example.com.</v>
      </c>
      <c r="B32" s="30"/>
      <c r="C32" s="30"/>
      <c r="D32" s="30"/>
      <c r="E32" s="30"/>
      <c r="F32" s="30"/>
      <c r="G32" s="30"/>
      <c r="H32" s="30"/>
    </row>
    <row r="33" customFormat="false" ht="30" hidden="false" customHeight="true" outlineLevel="0" collapsed="false">
      <c r="A33" s="30"/>
      <c r="B33" s="30"/>
      <c r="C33" s="30"/>
      <c r="D33" s="30"/>
      <c r="E33" s="30"/>
      <c r="F33" s="30"/>
      <c r="G33" s="30"/>
      <c r="H33" s="30"/>
    </row>
    <row r="34" customFormat="false" ht="30" hidden="false" customHeight="true" outlineLevel="0" collapsed="false">
      <c r="A34" s="30"/>
      <c r="B34" s="30"/>
      <c r="C34" s="30"/>
      <c r="D34" s="30"/>
      <c r="E34" s="30"/>
      <c r="F34" s="30"/>
      <c r="G34" s="30"/>
      <c r="H34" s="30"/>
    </row>
  </sheetData>
  <mergeCells count="5">
    <mergeCell ref="B5:E5"/>
    <mergeCell ref="B6:E6"/>
    <mergeCell ref="B7:E7"/>
    <mergeCell ref="B8:E8"/>
    <mergeCell ref="A32:H34"/>
  </mergeCells>
  <conditionalFormatting sqref="H13">
    <cfRule type="cellIs" priority="2" operator="lessThan" aboveAverage="0" equalAverage="0" bottom="0" percent="0" rank="0" text="" dxfId="0">
      <formula>0</formula>
    </cfRule>
  </conditionalFormatting>
  <conditionalFormatting sqref="G19">
    <cfRule type="expression" priority="3" aboveAverage="0" equalAverage="0" bottom="0" percent="0" rank="0" text="" dxfId="0">
      <formula>LEFT(G19,1)="⚠"</formula>
    </cfRule>
  </conditionalFormatting>
  <dataValidations count="2">
    <dataValidation allowBlank="true" errorStyle="stop" operator="between" showDropDown="false" showErrorMessage="false" showInputMessage="false" sqref="A11:A20" type="list">
      <formula1>'Price Setup'!$A$5:$A$34</formula1>
      <formula2>0</formula2>
    </dataValidation>
    <dataValidation allowBlank="true" error="Please enter a number of 0 or more." errorStyle="stop" errorTitle="Number" operator="greaterThanOrEqual" showDropDown="false" showErrorMessage="true" showInputMessage="false" sqref="B11:B20" type="decimal">
      <formula1>0</formula1>
      <formula2>0</formula2>
    </dataValidation>
  </dataValidations>
  <hyperlinks>
    <hyperlink ref="G2" r:id="rId1" display="Free demo · Get the full toolkit on Etsy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C3CB"/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4"/>
    <col collapsed="false" customWidth="true" hidden="false" outlineLevel="0" max="6" min="5" style="1" width="16"/>
    <col collapsed="false" customWidth="true" hidden="false" outlineLevel="0" max="7" min="7" style="1" width="3"/>
    <col collapsed="false" customWidth="true" hidden="false" outlineLevel="0" max="8" min="8" style="1" width="70"/>
  </cols>
  <sheetData>
    <row r="1" customFormat="false" ht="30" hidden="false" customHeight="true" outlineLevel="0" collapsed="false">
      <c r="A1" s="9" t="s">
        <v>57</v>
      </c>
    </row>
    <row r="2" customFormat="false" ht="15" hidden="false" customHeight="true" outlineLevel="0" collapsed="false">
      <c r="A2" s="10" t="s">
        <v>58</v>
      </c>
    </row>
    <row r="4" customFormat="false" ht="31.5" hidden="false" customHeight="true" outlineLevel="0" collapsed="false">
      <c r="A4" s="20" t="s">
        <v>32</v>
      </c>
      <c r="B4" s="20" t="s">
        <v>34</v>
      </c>
      <c r="C4" s="20" t="s">
        <v>59</v>
      </c>
      <c r="D4" s="20" t="s">
        <v>60</v>
      </c>
      <c r="E4" s="20" t="s">
        <v>61</v>
      </c>
      <c r="F4" s="20" t="s">
        <v>62</v>
      </c>
      <c r="H4" s="12" t="s">
        <v>63</v>
      </c>
    </row>
    <row r="5" customFormat="false" ht="15" hidden="false" customHeight="true" outlineLevel="0" collapsed="false">
      <c r="A5" s="21" t="s">
        <v>38</v>
      </c>
      <c r="B5" s="21" t="s">
        <v>64</v>
      </c>
      <c r="C5" s="31" t="n">
        <v>0.18</v>
      </c>
      <c r="D5" s="31" t="n">
        <v>99</v>
      </c>
      <c r="E5" s="32" t="n">
        <v>0.01</v>
      </c>
      <c r="F5" s="33" t="n">
        <v>4</v>
      </c>
      <c r="H5" s="13" t="s">
        <v>65</v>
      </c>
    </row>
    <row r="6" customFormat="false" ht="15" hidden="false" customHeight="true" outlineLevel="0" collapsed="false">
      <c r="A6" s="21" t="s">
        <v>40</v>
      </c>
      <c r="B6" s="21" t="s">
        <v>64</v>
      </c>
      <c r="C6" s="31" t="n">
        <v>0.22</v>
      </c>
      <c r="D6" s="31" t="n">
        <v>199</v>
      </c>
      <c r="E6" s="32" t="n">
        <v>0.02</v>
      </c>
      <c r="F6" s="33" t="n">
        <v>3</v>
      </c>
      <c r="H6" s="13" t="s">
        <v>66</v>
      </c>
    </row>
    <row r="7" customFormat="false" ht="15" hidden="false" customHeight="true" outlineLevel="0" collapsed="false">
      <c r="A7" s="21" t="s">
        <v>67</v>
      </c>
      <c r="B7" s="21" t="s">
        <v>64</v>
      </c>
      <c r="C7" s="31" t="n">
        <v>0.35</v>
      </c>
      <c r="D7" s="31" t="n">
        <v>349</v>
      </c>
      <c r="E7" s="32" t="n">
        <v>0.03</v>
      </c>
      <c r="F7" s="33" t="n">
        <v>4</v>
      </c>
      <c r="H7" s="13" t="s">
        <v>68</v>
      </c>
    </row>
    <row r="8" customFormat="false" ht="15" hidden="false" customHeight="true" outlineLevel="0" collapsed="false">
      <c r="A8" s="21" t="s">
        <v>69</v>
      </c>
      <c r="B8" s="21" t="s">
        <v>64</v>
      </c>
      <c r="C8" s="31" t="n">
        <v>0.4</v>
      </c>
      <c r="D8" s="31" t="n">
        <v>149</v>
      </c>
      <c r="E8" s="32" t="n">
        <v>0.02</v>
      </c>
      <c r="F8" s="33" t="n">
        <v>6</v>
      </c>
      <c r="H8" s="13" t="s">
        <v>70</v>
      </c>
    </row>
    <row r="9" customFormat="false" ht="15" hidden="false" customHeight="true" outlineLevel="0" collapsed="false">
      <c r="A9" s="21" t="s">
        <v>42</v>
      </c>
      <c r="B9" s="21" t="s">
        <v>64</v>
      </c>
      <c r="C9" s="31" t="n">
        <v>0.25</v>
      </c>
      <c r="D9" s="31" t="n">
        <v>99</v>
      </c>
      <c r="E9" s="32" t="n">
        <v>0.012</v>
      </c>
      <c r="F9" s="33" t="n">
        <v>5</v>
      </c>
      <c r="H9" s="13" t="s">
        <v>71</v>
      </c>
    </row>
    <row r="10" customFormat="false" ht="15" hidden="false" customHeight="true" outlineLevel="0" collapsed="false">
      <c r="A10" s="34" t="s">
        <v>72</v>
      </c>
      <c r="B10" s="35"/>
      <c r="C10" s="36"/>
      <c r="D10" s="36"/>
      <c r="E10" s="37"/>
      <c r="F10" s="38"/>
      <c r="H10" s="13" t="s">
        <v>73</v>
      </c>
    </row>
    <row r="11" customFormat="false" ht="15" hidden="false" customHeight="true" outlineLevel="0" collapsed="false">
      <c r="A11" s="35"/>
      <c r="B11" s="35"/>
      <c r="C11" s="36"/>
      <c r="D11" s="36"/>
      <c r="E11" s="37"/>
      <c r="F11" s="38"/>
    </row>
    <row r="12" customFormat="false" ht="15" hidden="false" customHeight="true" outlineLevel="0" collapsed="false">
      <c r="A12" s="35"/>
      <c r="B12" s="35"/>
      <c r="C12" s="36"/>
      <c r="D12" s="36"/>
      <c r="E12" s="37"/>
      <c r="F12" s="38"/>
    </row>
    <row r="13" customFormat="false" ht="15" hidden="false" customHeight="true" outlineLevel="0" collapsed="false">
      <c r="A13" s="35"/>
      <c r="B13" s="35"/>
      <c r="C13" s="36"/>
      <c r="D13" s="36"/>
      <c r="E13" s="37"/>
      <c r="F13" s="38"/>
    </row>
    <row r="14" customFormat="false" ht="15" hidden="false" customHeight="true" outlineLevel="0" collapsed="false">
      <c r="A14" s="35"/>
      <c r="B14" s="35"/>
      <c r="C14" s="36"/>
      <c r="D14" s="36"/>
      <c r="E14" s="37"/>
      <c r="F14" s="38"/>
    </row>
    <row r="15" customFormat="false" ht="15" hidden="false" customHeight="true" outlineLevel="0" collapsed="false">
      <c r="A15" s="35"/>
      <c r="B15" s="35"/>
      <c r="C15" s="36"/>
      <c r="D15" s="36"/>
      <c r="E15" s="37"/>
      <c r="F15" s="38"/>
    </row>
    <row r="16" customFormat="false" ht="15" hidden="false" customHeight="true" outlineLevel="0" collapsed="false">
      <c r="A16" s="35"/>
      <c r="B16" s="35"/>
      <c r="C16" s="36"/>
      <c r="D16" s="36"/>
      <c r="E16" s="37"/>
      <c r="F16" s="38"/>
    </row>
    <row r="17" customFormat="false" ht="15" hidden="false" customHeight="true" outlineLevel="0" collapsed="false">
      <c r="A17" s="35"/>
      <c r="B17" s="35"/>
      <c r="C17" s="36"/>
      <c r="D17" s="36"/>
      <c r="E17" s="37"/>
      <c r="F17" s="38"/>
    </row>
    <row r="18" customFormat="false" ht="15" hidden="false" customHeight="true" outlineLevel="0" collapsed="false">
      <c r="A18" s="35"/>
      <c r="B18" s="35"/>
      <c r="C18" s="36"/>
      <c r="D18" s="36"/>
      <c r="E18" s="37"/>
      <c r="F18" s="38"/>
    </row>
    <row r="19" customFormat="false" ht="15" hidden="false" customHeight="true" outlineLevel="0" collapsed="false">
      <c r="A19" s="35"/>
      <c r="B19" s="35"/>
      <c r="C19" s="36"/>
      <c r="D19" s="36"/>
      <c r="E19" s="37"/>
      <c r="F19" s="38"/>
    </row>
    <row r="20" customFormat="false" ht="15" hidden="false" customHeight="true" outlineLevel="0" collapsed="false">
      <c r="A20" s="35"/>
      <c r="B20" s="35"/>
      <c r="C20" s="36"/>
      <c r="D20" s="36"/>
      <c r="E20" s="37"/>
      <c r="F20" s="38"/>
    </row>
    <row r="21" customFormat="false" ht="15" hidden="false" customHeight="true" outlineLevel="0" collapsed="false">
      <c r="A21" s="35"/>
      <c r="B21" s="35"/>
      <c r="C21" s="36"/>
      <c r="D21" s="36"/>
      <c r="E21" s="37"/>
      <c r="F21" s="38"/>
    </row>
    <row r="22" customFormat="false" ht="15" hidden="false" customHeight="true" outlineLevel="0" collapsed="false">
      <c r="A22" s="35"/>
      <c r="B22" s="35"/>
      <c r="C22" s="36"/>
      <c r="D22" s="36"/>
      <c r="E22" s="37"/>
      <c r="F22" s="38"/>
    </row>
    <row r="23" customFormat="false" ht="15" hidden="false" customHeight="true" outlineLevel="0" collapsed="false">
      <c r="A23" s="35"/>
      <c r="B23" s="35"/>
      <c r="C23" s="36"/>
      <c r="D23" s="36"/>
      <c r="E23" s="37"/>
      <c r="F23" s="38"/>
    </row>
    <row r="24" customFormat="false" ht="15" hidden="false" customHeight="true" outlineLevel="0" collapsed="false">
      <c r="A24" s="35"/>
      <c r="B24" s="35"/>
      <c r="C24" s="36"/>
      <c r="D24" s="36"/>
      <c r="E24" s="37"/>
      <c r="F24" s="38"/>
    </row>
    <row r="25" customFormat="false" ht="15" hidden="false" customHeight="true" outlineLevel="0" collapsed="false">
      <c r="A25" s="35"/>
      <c r="B25" s="35"/>
      <c r="C25" s="36"/>
      <c r="D25" s="36"/>
      <c r="E25" s="37"/>
      <c r="F25" s="38"/>
    </row>
    <row r="26" customFormat="false" ht="15" hidden="false" customHeight="true" outlineLevel="0" collapsed="false">
      <c r="A26" s="35"/>
      <c r="B26" s="35"/>
      <c r="C26" s="36"/>
      <c r="D26" s="36"/>
      <c r="E26" s="37"/>
      <c r="F26" s="38"/>
    </row>
    <row r="27" customFormat="false" ht="15" hidden="false" customHeight="true" outlineLevel="0" collapsed="false">
      <c r="A27" s="35"/>
      <c r="B27" s="35"/>
      <c r="C27" s="36"/>
      <c r="D27" s="36"/>
      <c r="E27" s="37"/>
      <c r="F27" s="38"/>
    </row>
    <row r="28" customFormat="false" ht="15" hidden="false" customHeight="true" outlineLevel="0" collapsed="false">
      <c r="A28" s="35"/>
      <c r="B28" s="35"/>
      <c r="C28" s="36"/>
      <c r="D28" s="36"/>
      <c r="E28" s="37"/>
      <c r="F28" s="38"/>
    </row>
    <row r="29" customFormat="false" ht="15" hidden="false" customHeight="true" outlineLevel="0" collapsed="false">
      <c r="A29" s="35"/>
      <c r="B29" s="35"/>
      <c r="C29" s="36"/>
      <c r="D29" s="36"/>
      <c r="E29" s="37"/>
      <c r="F29" s="38"/>
    </row>
    <row r="30" customFormat="false" ht="15" hidden="false" customHeight="true" outlineLevel="0" collapsed="false">
      <c r="A30" s="35"/>
      <c r="B30" s="35"/>
      <c r="C30" s="36"/>
      <c r="D30" s="36"/>
      <c r="E30" s="37"/>
      <c r="F30" s="38"/>
    </row>
    <row r="31" customFormat="false" ht="15" hidden="false" customHeight="true" outlineLevel="0" collapsed="false">
      <c r="A31" s="35"/>
      <c r="B31" s="35"/>
      <c r="C31" s="36"/>
      <c r="D31" s="36"/>
      <c r="E31" s="37"/>
      <c r="F31" s="38"/>
    </row>
    <row r="32" customFormat="false" ht="15" hidden="false" customHeight="true" outlineLevel="0" collapsed="false">
      <c r="A32" s="35"/>
      <c r="B32" s="35"/>
      <c r="C32" s="36"/>
      <c r="D32" s="36"/>
      <c r="E32" s="37"/>
      <c r="F32" s="38"/>
    </row>
    <row r="33" customFormat="false" ht="15" hidden="false" customHeight="true" outlineLevel="0" collapsed="false">
      <c r="A33" s="35"/>
      <c r="B33" s="35"/>
      <c r="C33" s="36"/>
      <c r="D33" s="36"/>
      <c r="E33" s="37"/>
      <c r="F33" s="38"/>
    </row>
    <row r="34" customFormat="false" ht="15" hidden="false" customHeight="true" outlineLevel="0" collapsed="false">
      <c r="A34" s="35"/>
      <c r="B34" s="35"/>
      <c r="C34" s="36"/>
      <c r="D34" s="36"/>
      <c r="E34" s="37"/>
      <c r="F34" s="38"/>
    </row>
  </sheetData>
  <hyperlinks>
    <hyperlink ref="A10" r:id="rId1" display="Full version: up to 30 services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C3CB"/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4"/>
    <col collapsed="false" customWidth="true" hidden="false" outlineLevel="0" max="4" min="4" style="1" width="26"/>
    <col collapsed="false" customWidth="true" hidden="false" outlineLevel="0" max="5" min="5" style="1" width="4"/>
    <col collapsed="false" customWidth="true" hidden="false" outlineLevel="0" max="6" min="6" style="1" width="22"/>
    <col collapsed="false" customWidth="true" hidden="false" outlineLevel="0" max="7" min="7" style="1" width="4"/>
  </cols>
  <sheetData>
    <row r="1" customFormat="false" ht="30" hidden="false" customHeight="true" outlineLevel="0" collapsed="false">
      <c r="A1" s="9" t="s">
        <v>74</v>
      </c>
    </row>
    <row r="2" customFormat="false" ht="15" hidden="false" customHeight="true" outlineLevel="0" collapsed="false">
      <c r="A2" s="10" t="s">
        <v>75</v>
      </c>
    </row>
    <row r="4" customFormat="false" ht="15" hidden="false" customHeight="true" outlineLevel="0" collapsed="false">
      <c r="A4" s="12" t="s">
        <v>76</v>
      </c>
      <c r="D4" s="12" t="s">
        <v>77</v>
      </c>
      <c r="F4" s="12" t="s">
        <v>78</v>
      </c>
    </row>
    <row r="5" customFormat="false" ht="15" hidden="false" customHeight="true" outlineLevel="0" collapsed="false">
      <c r="A5" s="13" t="s">
        <v>79</v>
      </c>
      <c r="B5" s="21" t="s">
        <v>80</v>
      </c>
      <c r="D5" s="21" t="s">
        <v>81</v>
      </c>
      <c r="F5" s="21" t="s">
        <v>82</v>
      </c>
    </row>
    <row r="6" customFormat="false" ht="15" hidden="false" customHeight="true" outlineLevel="0" collapsed="false">
      <c r="A6" s="13" t="s">
        <v>83</v>
      </c>
      <c r="B6" s="21" t="s">
        <v>84</v>
      </c>
      <c r="D6" s="21" t="s">
        <v>85</v>
      </c>
      <c r="F6" s="21" t="s">
        <v>86</v>
      </c>
    </row>
    <row r="7" customFormat="false" ht="15" hidden="false" customHeight="true" outlineLevel="0" collapsed="false">
      <c r="D7" s="21" t="s">
        <v>87</v>
      </c>
      <c r="F7" s="21" t="s">
        <v>88</v>
      </c>
    </row>
    <row r="8" customFormat="false" ht="15" hidden="false" customHeight="true" outlineLevel="0" collapsed="false">
      <c r="A8" s="12" t="s">
        <v>89</v>
      </c>
      <c r="D8" s="21" t="s">
        <v>90</v>
      </c>
      <c r="F8" s="21" t="s">
        <v>91</v>
      </c>
    </row>
    <row r="9" customFormat="false" ht="15" hidden="false" customHeight="true" outlineLevel="0" collapsed="false">
      <c r="A9" s="13" t="s">
        <v>92</v>
      </c>
      <c r="B9" s="31" t="n">
        <v>35</v>
      </c>
      <c r="D9" s="21" t="s">
        <v>93</v>
      </c>
      <c r="F9" s="21" t="s">
        <v>94</v>
      </c>
    </row>
    <row r="10" customFormat="false" ht="15" hidden="false" customHeight="true" outlineLevel="0" collapsed="false">
      <c r="A10" s="13" t="s">
        <v>95</v>
      </c>
      <c r="B10" s="31" t="n">
        <v>0.7</v>
      </c>
      <c r="D10" s="21" t="s">
        <v>96</v>
      </c>
      <c r="F10" s="21" t="s">
        <v>97</v>
      </c>
    </row>
    <row r="11" customFormat="false" ht="15" hidden="false" customHeight="true" outlineLevel="0" collapsed="false">
      <c r="A11" s="13" t="s">
        <v>98</v>
      </c>
      <c r="B11" s="31" t="n">
        <v>4</v>
      </c>
      <c r="D11" s="21" t="s">
        <v>99</v>
      </c>
      <c r="F11" s="21" t="s">
        <v>100</v>
      </c>
    </row>
    <row r="12" customFormat="false" ht="15" hidden="false" customHeight="true" outlineLevel="0" collapsed="false">
      <c r="D12" s="21" t="s">
        <v>101</v>
      </c>
    </row>
    <row r="13" customFormat="false" ht="15" hidden="false" customHeight="true" outlineLevel="0" collapsed="false">
      <c r="A13" s="12" t="s">
        <v>102</v>
      </c>
      <c r="D13" s="21" t="s">
        <v>103</v>
      </c>
    </row>
    <row r="14" customFormat="false" ht="15" hidden="false" customHeight="true" outlineLevel="0" collapsed="false">
      <c r="A14" s="13" t="s">
        <v>104</v>
      </c>
      <c r="B14" s="33" t="n">
        <v>15</v>
      </c>
      <c r="D14" s="21" t="s">
        <v>100</v>
      </c>
    </row>
    <row r="15" customFormat="false" ht="15" hidden="false" customHeight="true" outlineLevel="0" collapsed="false">
      <c r="A15" s="13" t="s">
        <v>105</v>
      </c>
      <c r="B15" s="31" t="n">
        <v>1.5</v>
      </c>
    </row>
    <row r="16" customFormat="false" ht="15" hidden="false" customHeight="true" outlineLevel="0" collapsed="false">
      <c r="A16" s="13" t="s">
        <v>106</v>
      </c>
      <c r="B16" s="39" t="n">
        <v>0</v>
      </c>
    </row>
    <row r="17" customFormat="false" ht="15" hidden="false" customHeight="true" outlineLevel="0" collapsed="false">
      <c r="A17" s="13" t="s">
        <v>107</v>
      </c>
      <c r="B17" s="29" t="n">
        <v>0.25</v>
      </c>
      <c r="D17" s="12" t="s">
        <v>108</v>
      </c>
    </row>
    <row r="18" customFormat="false" ht="15" hidden="false" customHeight="true" outlineLevel="0" collapsed="false">
      <c r="A18" s="13" t="s">
        <v>109</v>
      </c>
      <c r="B18" s="29" t="n">
        <v>0.4</v>
      </c>
      <c r="D18" s="40" t="s">
        <v>110</v>
      </c>
    </row>
    <row r="19" customFormat="false" ht="15" hidden="false" customHeight="true" outlineLevel="0" collapsed="false">
      <c r="A19" s="13" t="s">
        <v>111</v>
      </c>
      <c r="B19" s="33" t="n">
        <v>12</v>
      </c>
      <c r="D19" s="40" t="s">
        <v>112</v>
      </c>
    </row>
    <row r="20" customFormat="false" ht="15" hidden="false" customHeight="true" outlineLevel="0" collapsed="false">
      <c r="D20" s="40" t="s">
        <v>113</v>
      </c>
    </row>
    <row r="21" customFormat="false" ht="15" hidden="false" customHeight="true" outlineLevel="0" collapsed="false">
      <c r="D21" s="40" t="s">
        <v>114</v>
      </c>
    </row>
    <row r="22" customFormat="false" ht="15" hidden="false" customHeight="true" outlineLevel="0" collapsed="false">
      <c r="D22" s="40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2026-10-24T16:36:15Z</dcterms:created>
  <dc:creator>openpyxl</dc:creator>
  <dc:description/>
  <dc:language>en-US</dc:language>
  <cp:lastModifiedBy/>
  <dcterms:modified xsi:type="dcterms:W3CDTF">2026-10-24T16:51:48Z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